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rene_Fang\others\"/>
    </mc:Choice>
  </mc:AlternateContent>
  <bookViews>
    <workbookView xWindow="0" yWindow="0" windowWidth="28800" windowHeight="11925" activeTab="2"/>
  </bookViews>
  <sheets>
    <sheet name="匯率表" sheetId="2" r:id="rId1"/>
    <sheet name="細項" sheetId="1" r:id="rId2"/>
    <sheet name="匯總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  <c r="C6" i="3"/>
  <c r="B7" i="3"/>
  <c r="B6" i="3"/>
  <c r="L15" i="1" l="1"/>
  <c r="M15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K3" i="1" l="1"/>
  <c r="K4" i="1"/>
  <c r="K5" i="1"/>
  <c r="K6" i="1"/>
  <c r="K7" i="1"/>
  <c r="K8" i="1"/>
  <c r="K9" i="1"/>
  <c r="K10" i="1"/>
  <c r="K11" i="1"/>
  <c r="K12" i="1"/>
  <c r="K13" i="1"/>
  <c r="K14" i="1"/>
  <c r="K21" i="1"/>
  <c r="K22" i="1"/>
  <c r="K23" i="1"/>
  <c r="K24" i="1"/>
  <c r="K25" i="1"/>
  <c r="K26" i="1"/>
  <c r="K2" i="1"/>
  <c r="K27" i="1"/>
  <c r="K28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</calcChain>
</file>

<file path=xl/sharedStrings.xml><?xml version="1.0" encoding="utf-8"?>
<sst xmlns="http://schemas.openxmlformats.org/spreadsheetml/2006/main" count="37" uniqueCount="34">
  <si>
    <t>ID</t>
    <phoneticPr fontId="1" type="noConversion"/>
  </si>
  <si>
    <t>Type</t>
    <phoneticPr fontId="1" type="noConversion"/>
  </si>
  <si>
    <t>台北富邦</t>
    <phoneticPr fontId="1" type="noConversion"/>
  </si>
  <si>
    <t>中國信託</t>
    <phoneticPr fontId="1" type="noConversion"/>
  </si>
  <si>
    <t>銀行/證券商分類</t>
    <phoneticPr fontId="1" type="noConversion"/>
  </si>
  <si>
    <t>項目ID</t>
    <phoneticPr fontId="1" type="noConversion"/>
  </si>
  <si>
    <t>銀行/證券商</t>
    <phoneticPr fontId="1" type="noConversion"/>
  </si>
  <si>
    <t>類別</t>
    <phoneticPr fontId="1" type="noConversion"/>
  </si>
  <si>
    <t>類別分類</t>
    <phoneticPr fontId="1" type="noConversion"/>
  </si>
  <si>
    <t>台幣活存</t>
    <phoneticPr fontId="1" type="noConversion"/>
  </si>
  <si>
    <t>台幣定存</t>
    <phoneticPr fontId="1" type="noConversion"/>
  </si>
  <si>
    <t>美金活存(台幣市值)</t>
    <phoneticPr fontId="1" type="noConversion"/>
  </si>
  <si>
    <t>美金定存(台幣市值)</t>
    <phoneticPr fontId="1" type="noConversion"/>
  </si>
  <si>
    <t>其他外幣活存(台幣市值)</t>
    <phoneticPr fontId="1" type="noConversion"/>
  </si>
  <si>
    <t>其他外幣定存(台幣市值)</t>
    <phoneticPr fontId="1" type="noConversion"/>
  </si>
  <si>
    <t>儲蓄險</t>
    <phoneticPr fontId="1" type="noConversion"/>
  </si>
  <si>
    <t>類別ID</t>
    <phoneticPr fontId="1" type="noConversion"/>
  </si>
  <si>
    <t>匯率賣價</t>
    <phoneticPr fontId="1" type="noConversion"/>
  </si>
  <si>
    <t>美金</t>
    <phoneticPr fontId="1" type="noConversion"/>
  </si>
  <si>
    <t>日幣</t>
    <phoneticPr fontId="1" type="noConversion"/>
  </si>
  <si>
    <t>澳幣</t>
    <phoneticPr fontId="1" type="noConversion"/>
  </si>
  <si>
    <t>股票(總市值)</t>
    <phoneticPr fontId="1" type="noConversion"/>
  </si>
  <si>
    <t>Total</t>
    <phoneticPr fontId="1" type="noConversion"/>
  </si>
  <si>
    <t>其他</t>
    <phoneticPr fontId="1" type="noConversion"/>
  </si>
  <si>
    <t>項目</t>
    <phoneticPr fontId="1" type="noConversion"/>
  </si>
  <si>
    <t>台幣活存</t>
    <phoneticPr fontId="1" type="noConversion"/>
  </si>
  <si>
    <t>美金活存(台幣市值)</t>
    <phoneticPr fontId="1" type="noConversion"/>
  </si>
  <si>
    <t>其他外幣活存(台幣市值)</t>
    <phoneticPr fontId="1" type="noConversion"/>
  </si>
  <si>
    <t>其他外幣定存(台幣市值)</t>
    <phoneticPr fontId="1" type="noConversion"/>
  </si>
  <si>
    <t>Total</t>
    <phoneticPr fontId="1" type="noConversion"/>
  </si>
  <si>
    <t>與上個月差額</t>
    <phoneticPr fontId="1" type="noConversion"/>
  </si>
  <si>
    <t>台新銀行</t>
    <phoneticPr fontId="1" type="noConversion"/>
  </si>
  <si>
    <t>國泰銀行</t>
    <phoneticPr fontId="1" type="noConversion"/>
  </si>
  <si>
    <t>永豐銀行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</si>
</sst>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0_);\(#,##0.00\)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quotePrefix="1" applyNumberFormat="1">
      <alignment vertical="center"/>
    </xf>
    <xf numFmtId="176" fontId="0" fillId="0" borderId="0" xfId="0" applyNumberFormat="1" applyFill="1">
      <alignment vertical="center"/>
    </xf>
  </cellXfs>
  <cellStyles count="1">
    <cellStyle name="一般" xfId="0" builtinId="0"/>
  </cellStyles>
  <dxfs count="2">
    <dxf>
      <font>
        <color rgb="FF9C0006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2021/9/1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匯總!$A$2:$A$5</c:f>
              <c:strCache>
                <c:ptCount val="4"/>
                <c:pt idx="0">
                  <c:v>台幣活存</c:v>
                </c:pt>
                <c:pt idx="1">
                  <c:v>美金活存(台幣市值)</c:v>
                </c:pt>
                <c:pt idx="2">
                  <c:v>其他外幣活存(台幣市值)</c:v>
                </c:pt>
                <c:pt idx="3">
                  <c:v>其他外幣定存(台幣市值)</c:v>
                </c:pt>
              </c:strCache>
            </c:strRef>
          </c:cat>
          <c:val>
            <c:numRef>
              <c:f>匯總!$C$2:$C$5</c:f>
              <c:numCache>
                <c:formatCode>General</c:formatCode>
                <c:ptCount val="4"/>
                <c:pt idx="0">
                  <c:v>70</c:v>
                </c:pt>
                <c:pt idx="1">
                  <c:v>80</c:v>
                </c:pt>
                <c:pt idx="2">
                  <c:v>30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990-B071-8DB0449688B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28575</xdr:rowOff>
        </xdr:from>
        <xdr:to>
          <xdr:col>2</xdr:col>
          <xdr:colOff>228600</xdr:colOff>
          <xdr:row>18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157664</xdr:colOff>
      <xdr:row>10</xdr:row>
      <xdr:rowOff>135605</xdr:rowOff>
    </xdr:from>
    <xdr:to>
      <xdr:col>12</xdr:col>
      <xdr:colOff>610853</xdr:colOff>
      <xdr:row>23</xdr:row>
      <xdr:rowOff>154655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4"/>
  <sheetViews>
    <sheetView workbookViewId="0">
      <selection activeCell="B2" sqref="B2"/>
    </sheetView>
  </sheetViews>
  <sheetFormatPr defaultRowHeight="16.5" x14ac:dyDescent="0.25"/>
  <sheetData>
    <row r="1" spans="1:2" x14ac:dyDescent="0.25">
      <c r="A1" t="s">
        <v>17</v>
      </c>
      <c r="B1" s="1">
        <v>44409</v>
      </c>
    </row>
    <row r="2" spans="1:2" x14ac:dyDescent="0.25">
      <c r="A2" t="s">
        <v>18</v>
      </c>
      <c r="B2">
        <v>27.925000000000001</v>
      </c>
    </row>
    <row r="3" spans="1:2" x14ac:dyDescent="0.25">
      <c r="A3" t="s">
        <v>19</v>
      </c>
      <c r="B3">
        <v>0.25359999999999999</v>
      </c>
    </row>
    <row r="4" spans="1:2" x14ac:dyDescent="0.25">
      <c r="A4" t="s">
        <v>20</v>
      </c>
      <c r="B4">
        <v>20.46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U34"/>
  <sheetViews>
    <sheetView topLeftCell="B1" zoomScale="84" workbookViewId="0">
      <selection activeCell="D40" sqref="D40"/>
    </sheetView>
  </sheetViews>
  <sheetFormatPr defaultRowHeight="16.5" x14ac:dyDescent="0.25"/>
  <cols>
    <col min="1" max="1" width="16.625" bestFit="1" customWidth="1"/>
    <col min="2" max="2" width="18.375" bestFit="1" customWidth="1"/>
    <col min="5" max="5" width="24.125" bestFit="1" customWidth="1"/>
    <col min="9" max="9" width="7.25" customWidth="1"/>
    <col min="10" max="10" width="12.25" bestFit="1" customWidth="1"/>
    <col min="11" max="11" width="24.125" bestFit="1" customWidth="1"/>
    <col min="12" max="12" width="12.875" bestFit="1" customWidth="1"/>
  </cols>
  <sheetData>
    <row r="1" spans="1:13" x14ac:dyDescent="0.25">
      <c r="A1" t="s">
        <v>4</v>
      </c>
      <c r="D1" t="s">
        <v>8</v>
      </c>
      <c r="E1" s="2"/>
      <c r="G1" t="s">
        <v>5</v>
      </c>
      <c r="H1" s="1" t="s">
        <v>16</v>
      </c>
      <c r="J1" t="s">
        <v>6</v>
      </c>
      <c r="K1" t="s">
        <v>7</v>
      </c>
      <c r="L1" s="4">
        <v>44409</v>
      </c>
      <c r="M1" s="4">
        <v>44440</v>
      </c>
    </row>
    <row r="2" spans="1:13" x14ac:dyDescent="0.25">
      <c r="A2" t="s">
        <v>0</v>
      </c>
      <c r="B2" t="s">
        <v>1</v>
      </c>
      <c r="D2" t="s">
        <v>0</v>
      </c>
      <c r="E2" t="s">
        <v>1</v>
      </c>
      <c r="G2">
        <v>1</v>
      </c>
      <c r="H2">
        <v>1</v>
      </c>
      <c r="J2" t="str">
        <f>IF(G2&lt;&gt;"",VLOOKUP(G2,$A$2:$B$8,2,FALSE),"")</f>
        <v>台北富邦</v>
      </c>
      <c r="K2" t="str">
        <f>IF(H2&lt;&gt;"",VLOOKUP(H2,$D$2:$E$10,2,FALSE),"")</f>
        <v>台幣活存</v>
      </c>
      <c r="L2" s="2">
        <v>10</v>
      </c>
      <c r="M2" s="2">
        <v>10</v>
      </c>
    </row>
    <row r="3" spans="1:13" x14ac:dyDescent="0.25">
      <c r="A3">
        <v>1</v>
      </c>
      <c r="B3" t="s">
        <v>2</v>
      </c>
      <c r="D3">
        <v>1</v>
      </c>
      <c r="E3" t="s">
        <v>9</v>
      </c>
      <c r="G3">
        <v>1</v>
      </c>
      <c r="H3">
        <v>3</v>
      </c>
      <c r="J3" t="str">
        <f>IF(G3&lt;&gt;"",VLOOKUP(G3,$A$2:$B$8,2,FALSE),"")</f>
        <v>台北富邦</v>
      </c>
      <c r="K3" t="str">
        <f t="shared" ref="K3:K26" si="0">IF(H3&lt;&gt;"",VLOOKUP(H3,$D$2:$E$10,2,FALSE),"")</f>
        <v>美金活存(台幣市值)</v>
      </c>
      <c r="L3" s="2">
        <v>10</v>
      </c>
      <c r="M3" s="2">
        <v>10</v>
      </c>
    </row>
    <row r="4" spans="1:13" x14ac:dyDescent="0.25">
      <c r="A4">
        <v>2</v>
      </c>
      <c r="B4" t="s">
        <v>3</v>
      </c>
      <c r="D4">
        <v>2</v>
      </c>
      <c r="E4" t="s">
        <v>10</v>
      </c>
      <c r="G4">
        <v>1</v>
      </c>
      <c r="H4">
        <v>5</v>
      </c>
      <c r="J4" t="str">
        <f>IF(G4&lt;&gt;"",VLOOKUP(G4,$A$2:$B$8,2,FALSE),"")</f>
        <v>台北富邦</v>
      </c>
      <c r="K4" t="str">
        <f t="shared" si="0"/>
        <v>其他外幣活存(台幣市值)</v>
      </c>
      <c r="L4" s="2">
        <v>10</v>
      </c>
      <c r="M4" s="2">
        <v>10</v>
      </c>
    </row>
    <row r="5" spans="1:13" x14ac:dyDescent="0.25">
      <c r="A5">
        <v>3</v>
      </c>
      <c r="B5" t="s">
        <v>31</v>
      </c>
      <c r="D5">
        <v>3</v>
      </c>
      <c r="E5" t="s">
        <v>11</v>
      </c>
      <c r="G5">
        <v>2</v>
      </c>
      <c r="H5">
        <v>1</v>
      </c>
      <c r="J5" t="str">
        <f>IF(G5&lt;&gt;"",VLOOKUP(G5,$A$2:$B$8,2,FALSE),"")</f>
        <v>中國信託</v>
      </c>
      <c r="K5" t="str">
        <f t="shared" si="0"/>
        <v>台幣活存</v>
      </c>
      <c r="L5" s="2">
        <v>20</v>
      </c>
      <c r="M5" s="2">
        <v>20</v>
      </c>
    </row>
    <row r="6" spans="1:13" x14ac:dyDescent="0.25">
      <c r="A6">
        <v>4</v>
      </c>
      <c r="B6" t="s">
        <v>33</v>
      </c>
      <c r="D6">
        <v>4</v>
      </c>
      <c r="E6" t="s">
        <v>12</v>
      </c>
      <c r="G6">
        <v>2</v>
      </c>
      <c r="H6">
        <v>3</v>
      </c>
      <c r="J6" t="str">
        <f>IF(G6&lt;&gt;"",VLOOKUP(G6,$A$2:$B$8,2,FALSE),"")</f>
        <v>中國信託</v>
      </c>
      <c r="K6" t="str">
        <f t="shared" si="0"/>
        <v>美金活存(台幣市值)</v>
      </c>
      <c r="L6" s="2">
        <v>20</v>
      </c>
      <c r="M6" s="2">
        <v>20</v>
      </c>
    </row>
    <row r="7" spans="1:13" x14ac:dyDescent="0.25">
      <c r="A7">
        <v>5</v>
      </c>
      <c r="B7" t="s">
        <v>32</v>
      </c>
      <c r="D7">
        <v>5</v>
      </c>
      <c r="E7" t="s">
        <v>13</v>
      </c>
      <c r="G7">
        <v>2</v>
      </c>
      <c r="H7">
        <v>5</v>
      </c>
      <c r="J7" t="str">
        <f>IF(G7&lt;&gt;"",VLOOKUP(G7,$A$2:$B$8,2,FALSE),"")</f>
        <v>中國信託</v>
      </c>
      <c r="K7" t="str">
        <f t="shared" si="0"/>
        <v>其他外幣活存(台幣市值)</v>
      </c>
      <c r="L7" s="2">
        <v>20</v>
      </c>
      <c r="M7" s="2">
        <v>20</v>
      </c>
    </row>
    <row r="8" spans="1:13" x14ac:dyDescent="0.25">
      <c r="A8">
        <v>6</v>
      </c>
      <c r="B8" t="s">
        <v>23</v>
      </c>
      <c r="D8">
        <v>6</v>
      </c>
      <c r="E8" t="s">
        <v>14</v>
      </c>
      <c r="G8">
        <v>2</v>
      </c>
      <c r="H8">
        <v>6</v>
      </c>
      <c r="J8" t="str">
        <f>IF(G8&lt;&gt;"",VLOOKUP(G8,$A$2:$B$8,2,FALSE),"")</f>
        <v>中國信託</v>
      </c>
      <c r="K8" t="str">
        <f t="shared" si="0"/>
        <v>其他外幣定存(台幣市值)</v>
      </c>
      <c r="L8" s="2">
        <v>10</v>
      </c>
      <c r="M8" s="2">
        <v>10</v>
      </c>
    </row>
    <row r="9" spans="1:13" x14ac:dyDescent="0.25">
      <c r="D9">
        <v>7</v>
      </c>
      <c r="E9" t="s">
        <v>21</v>
      </c>
      <c r="G9">
        <v>4</v>
      </c>
      <c r="H9">
        <v>1</v>
      </c>
      <c r="J9" t="str">
        <f>IF(G9&lt;&gt;"",VLOOKUP(G9,$A$2:$B$8,2,FALSE),"")</f>
        <v>永豐銀行</v>
      </c>
      <c r="K9" t="str">
        <f t="shared" si="0"/>
        <v>台幣活存</v>
      </c>
      <c r="L9" s="2">
        <v>10</v>
      </c>
      <c r="M9" s="2">
        <v>10</v>
      </c>
    </row>
    <row r="10" spans="1:13" x14ac:dyDescent="0.25">
      <c r="D10">
        <v>8</v>
      </c>
      <c r="E10" t="s">
        <v>15</v>
      </c>
      <c r="G10">
        <v>4</v>
      </c>
      <c r="H10">
        <v>3</v>
      </c>
      <c r="J10" t="str">
        <f>IF(G10&lt;&gt;"",VLOOKUP(G10,$A$2:$B$8,2,FALSE),"")</f>
        <v>永豐銀行</v>
      </c>
      <c r="K10" t="str">
        <f t="shared" si="0"/>
        <v>美金活存(台幣市值)</v>
      </c>
      <c r="L10" s="2">
        <v>20</v>
      </c>
      <c r="M10" s="2">
        <v>20</v>
      </c>
    </row>
    <row r="11" spans="1:13" x14ac:dyDescent="0.25">
      <c r="G11">
        <v>5</v>
      </c>
      <c r="H11">
        <v>1</v>
      </c>
      <c r="J11" t="str">
        <f>IF(G11&lt;&gt;"",VLOOKUP(G11,$A$2:$B$8,2,FALSE),"")</f>
        <v>國泰銀行</v>
      </c>
      <c r="K11" t="str">
        <f t="shared" si="0"/>
        <v>台幣活存</v>
      </c>
      <c r="L11" s="2">
        <v>20</v>
      </c>
      <c r="M11" s="2">
        <v>20</v>
      </c>
    </row>
    <row r="12" spans="1:13" x14ac:dyDescent="0.25">
      <c r="G12">
        <v>5</v>
      </c>
      <c r="H12">
        <v>3</v>
      </c>
      <c r="J12" t="str">
        <f>IF(G12&lt;&gt;"",VLOOKUP(G12,$A$2:$B$8,2,FALSE),"")</f>
        <v>國泰銀行</v>
      </c>
      <c r="K12" t="str">
        <f t="shared" si="0"/>
        <v>美金活存(台幣市值)</v>
      </c>
      <c r="L12" s="2">
        <v>10</v>
      </c>
      <c r="M12" s="2">
        <v>10</v>
      </c>
    </row>
    <row r="13" spans="1:13" x14ac:dyDescent="0.25">
      <c r="G13">
        <v>6</v>
      </c>
      <c r="H13">
        <v>1</v>
      </c>
      <c r="J13" t="str">
        <f>IF(G13&lt;&gt;"",VLOOKUP(G13,$A$2:$B$8,2,FALSE),"")</f>
        <v>其他</v>
      </c>
      <c r="K13" t="str">
        <f t="shared" si="0"/>
        <v>台幣活存</v>
      </c>
      <c r="L13" s="2">
        <v>10</v>
      </c>
      <c r="M13" s="2">
        <v>10</v>
      </c>
    </row>
    <row r="14" spans="1:13" x14ac:dyDescent="0.25">
      <c r="G14">
        <v>6</v>
      </c>
      <c r="H14">
        <v>3</v>
      </c>
      <c r="J14" t="str">
        <f>IF(G14&lt;&gt;"",VLOOKUP(G14,$A$2:$B$8,2,FALSE),"")</f>
        <v>其他</v>
      </c>
      <c r="K14" t="str">
        <f t="shared" si="0"/>
        <v>美金活存(台幣市值)</v>
      </c>
      <c r="L14" s="2">
        <v>20</v>
      </c>
      <c r="M14" s="2">
        <v>20</v>
      </c>
    </row>
    <row r="15" spans="1:13" x14ac:dyDescent="0.25">
      <c r="J15" t="s">
        <v>22</v>
      </c>
      <c r="K15" t="s">
        <v>22</v>
      </c>
      <c r="L15" s="3">
        <f>SUM(L2:L14)</f>
        <v>190</v>
      </c>
      <c r="M15" s="3">
        <f>SUM(M2:M14)</f>
        <v>190</v>
      </c>
    </row>
    <row r="16" spans="1:13" x14ac:dyDescent="0.25">
      <c r="L16" s="2"/>
    </row>
    <row r="17" spans="10:21" x14ac:dyDescent="0.25">
      <c r="L17" s="2"/>
    </row>
    <row r="18" spans="10:21" x14ac:dyDescent="0.25">
      <c r="L18" s="2"/>
      <c r="N18" s="5"/>
      <c r="O18" s="5"/>
      <c r="P18" s="5"/>
      <c r="Q18" s="5"/>
      <c r="R18" s="5"/>
      <c r="S18" s="5"/>
      <c r="T18" s="5"/>
      <c r="U18" s="5"/>
    </row>
    <row r="19" spans="10:21" x14ac:dyDescent="0.25">
      <c r="L19" s="2"/>
    </row>
    <row r="21" spans="10:21" x14ac:dyDescent="0.25">
      <c r="J21" t="str">
        <f>IF(G21&lt;&gt;"",VLOOKUP(G21,$A$2:$B$7,2,FALSE),"")</f>
        <v/>
      </c>
      <c r="K21" t="str">
        <f t="shared" si="0"/>
        <v/>
      </c>
      <c r="L21" s="2"/>
    </row>
    <row r="22" spans="10:21" x14ac:dyDescent="0.25">
      <c r="J22" t="str">
        <f>IF(G22&lt;&gt;"",VLOOKUP(G22,$A$2:$B$7,2,FALSE),"")</f>
        <v/>
      </c>
      <c r="K22" t="str">
        <f t="shared" si="0"/>
        <v/>
      </c>
      <c r="L22" s="2"/>
    </row>
    <row r="23" spans="10:21" x14ac:dyDescent="0.25">
      <c r="J23" t="str">
        <f>IF(G23&lt;&gt;"",VLOOKUP(G23,$A$2:$B$7,2,FALSE),"")</f>
        <v/>
      </c>
      <c r="K23" t="str">
        <f t="shared" si="0"/>
        <v/>
      </c>
      <c r="L23" s="2"/>
    </row>
    <row r="24" spans="10:21" x14ac:dyDescent="0.25">
      <c r="J24" t="str">
        <f>IF(G24&lt;&gt;"",VLOOKUP(G24,$A$2:$B$7,2,FALSE),"")</f>
        <v/>
      </c>
      <c r="K24" t="str">
        <f t="shared" si="0"/>
        <v/>
      </c>
      <c r="L24" s="2"/>
    </row>
    <row r="25" spans="10:21" x14ac:dyDescent="0.25">
      <c r="J25" t="str">
        <f>IF(G25&lt;&gt;"",VLOOKUP(G25,$A$2:$B$7,2,FALSE),"")</f>
        <v/>
      </c>
      <c r="K25" t="str">
        <f t="shared" si="0"/>
        <v/>
      </c>
      <c r="L25" s="2"/>
    </row>
    <row r="26" spans="10:21" x14ac:dyDescent="0.25">
      <c r="J26" t="str">
        <f>IF(G26&lt;&gt;"",VLOOKUP(G26,$A$2:$B$7,2,FALSE),"")</f>
        <v/>
      </c>
      <c r="K26" t="str">
        <f t="shared" si="0"/>
        <v/>
      </c>
      <c r="L26" s="2"/>
    </row>
    <row r="27" spans="10:21" x14ac:dyDescent="0.25">
      <c r="J27" t="str">
        <f>IF(G27&lt;&gt;"",VLOOKUP(G27,$A$2:$B$7,2,FALSE),"")</f>
        <v/>
      </c>
      <c r="K27" t="str">
        <f t="shared" ref="K27:K28" si="1">IF(H27&lt;&gt;"",VLOOKUP(G27,$D$2:$E$10,2,FALSE),"")</f>
        <v/>
      </c>
      <c r="L27" s="2"/>
    </row>
    <row r="28" spans="10:21" x14ac:dyDescent="0.25">
      <c r="J28" t="str">
        <f>IF(G28&lt;&gt;"",VLOOKUP(G28,$A$2:$B$7,2,FALSE),"")</f>
        <v/>
      </c>
      <c r="K28" t="str">
        <f t="shared" si="1"/>
        <v/>
      </c>
      <c r="L28" s="2"/>
    </row>
    <row r="29" spans="10:21" x14ac:dyDescent="0.25">
      <c r="J29" t="str">
        <f>IF(G29&lt;&gt;"",VLOOKUP(G29,$A$2:$B$7,2,FALSE),"")</f>
        <v/>
      </c>
      <c r="L29" s="2"/>
    </row>
    <row r="30" spans="10:21" x14ac:dyDescent="0.25">
      <c r="J30" t="str">
        <f>IF(G30&lt;&gt;"",VLOOKUP(G30,$A$2:$B$7,2,FALSE),"")</f>
        <v/>
      </c>
      <c r="L30" s="2"/>
    </row>
    <row r="31" spans="10:21" x14ac:dyDescent="0.25">
      <c r="J31" t="str">
        <f>IF(G31&lt;&gt;"",VLOOKUP(G31,$A$2:$B$7,2,FALSE),"")</f>
        <v/>
      </c>
      <c r="L31" s="2"/>
    </row>
    <row r="32" spans="10:21" x14ac:dyDescent="0.25">
      <c r="J32" t="str">
        <f>IF(G32&lt;&gt;"",VLOOKUP(G32,$A$2:$B$7,2,FALSE),"")</f>
        <v/>
      </c>
    </row>
    <row r="33" spans="10:10" x14ac:dyDescent="0.25">
      <c r="J33" t="str">
        <f>IF(G33&lt;&gt;"",VLOOKUP(G33,$A$2:$B$7,2,FALSE),"")</f>
        <v/>
      </c>
    </row>
    <row r="34" spans="10:10" x14ac:dyDescent="0.25">
      <c r="J34" t="str">
        <f>IF(G34&lt;&gt;"",VLOOKUP(G34,$A$2:$B$7,2,FALSE),"")</f>
        <v/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C7"/>
  <sheetViews>
    <sheetView tabSelected="1" zoomScale="95" zoomScaleNormal="85" workbookViewId="0">
      <selection activeCell="F7" sqref="F7"/>
    </sheetView>
  </sheetViews>
  <sheetFormatPr defaultRowHeight="16.5" x14ac:dyDescent="0.25"/>
  <cols>
    <col min="1" max="1" width="24.125" bestFit="1" customWidth="1"/>
    <col min="2" max="2" width="12.75" bestFit="1" customWidth="1"/>
  </cols>
  <sheetData>
    <row r="1" spans="1:3" x14ac:dyDescent="0.25">
      <c r="A1" t="s">
        <v>24</v>
      </c>
      <c r="B1" s="1">
        <v>44409</v>
      </c>
      <c r="C1" s="1">
        <v>44440</v>
      </c>
    </row>
    <row r="2" spans="1:3" x14ac:dyDescent="0.25">
      <c r="A2" t="s">
        <v>25</v>
      </c>
      <c r="B2">
        <v>70</v>
      </c>
      <c r="C2">
        <v>70</v>
      </c>
    </row>
    <row r="3" spans="1:3" x14ac:dyDescent="0.25">
      <c r="A3" t="s">
        <v>26</v>
      </c>
      <c r="B3">
        <v>80</v>
      </c>
      <c r="C3">
        <v>80</v>
      </c>
    </row>
    <row r="4" spans="1:3" x14ac:dyDescent="0.25">
      <c r="A4" t="s">
        <v>27</v>
      </c>
      <c r="B4">
        <v>30</v>
      </c>
      <c r="C4">
        <v>30</v>
      </c>
    </row>
    <row r="5" spans="1:3" x14ac:dyDescent="0.25">
      <c r="A5" t="s">
        <v>28</v>
      </c>
      <c r="B5">
        <v>10</v>
      </c>
      <c r="C5">
        <v>10</v>
      </c>
    </row>
    <row r="6" spans="1:3" x14ac:dyDescent="0.25">
      <c r="A6" t="s">
        <v>29</v>
      </c>
      <c r="B6">
        <f>SUM(B2:B5)</f>
        <v>190</v>
      </c>
      <c r="C6">
        <f>SUM(C2:C5)</f>
        <v>190</v>
      </c>
    </row>
    <row r="7" spans="1:3" x14ac:dyDescent="0.25">
      <c r="A7" t="s">
        <v>30</v>
      </c>
      <c r="B7" t="e">
        <f>B6-A6</f>
        <v>#VALUE!</v>
      </c>
      <c r="C7">
        <f>C6-B6</f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MMARY">
                <anchor moveWithCells="1" sizeWithCells="1">
                  <from>
                    <xdr:col>0</xdr:col>
                    <xdr:colOff>28575</xdr:colOff>
                    <xdr:row>16</xdr:row>
                    <xdr:rowOff>28575</xdr:rowOff>
                  </from>
                  <to>
                    <xdr:col>2</xdr:col>
                    <xdr:colOff>228600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匯率表</vt:lpstr>
      <vt:lpstr>細項</vt:lpstr>
      <vt:lpstr>匯總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 Fang(方永盈)</dc:creator>
  <cp:lastModifiedBy>Irene Fang(方永盈)</cp:lastModifiedBy>
  <dcterms:created xsi:type="dcterms:W3CDTF">2021-08-01T08:25:32Z</dcterms:created>
  <dcterms:modified xsi:type="dcterms:W3CDTF">2021-08-07T11:44:43Z</dcterms:modified>
</cp:coreProperties>
</file>